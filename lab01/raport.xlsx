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tek\Documents\pea\lab01\"/>
    </mc:Choice>
  </mc:AlternateContent>
  <xr:revisionPtr revIDLastSave="0" documentId="13_ncr:1_{A9A7FA51-0A69-49A3-B183-8F494F6163BD}" xr6:coauthVersionLast="47" xr6:coauthVersionMax="47" xr10:uidLastSave="{00000000-0000-0000-0000-000000000000}"/>
  <bookViews>
    <workbookView xWindow="-120" yWindow="-120" windowWidth="29040" windowHeight="15840" xr2:uid="{13AE43DC-30C2-452A-8CD0-75EEADCD35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1" l="1"/>
  <c r="N13" i="1"/>
  <c r="K13" i="1"/>
  <c r="J13" i="1"/>
  <c r="G13" i="1"/>
  <c r="F13" i="1"/>
  <c r="C13" i="1"/>
  <c r="B13" i="1"/>
</calcChain>
</file>

<file path=xl/sharedStrings.xml><?xml version="1.0" encoding="utf-8"?>
<sst xmlns="http://schemas.openxmlformats.org/spreadsheetml/2006/main" count="94" uniqueCount="32">
  <si>
    <t>14x14</t>
  </si>
  <si>
    <t>blad</t>
  </si>
  <si>
    <t>czas[s]</t>
  </si>
  <si>
    <t>11x11</t>
  </si>
  <si>
    <t>i=2_100_000_000</t>
  </si>
  <si>
    <t>czas[ms]</t>
  </si>
  <si>
    <t>próba</t>
  </si>
  <si>
    <t>średnia:</t>
  </si>
  <si>
    <t>i=1_500_000</t>
  </si>
  <si>
    <t>8x8</t>
  </si>
  <si>
    <t>i=5000</t>
  </si>
  <si>
    <t>6x6</t>
  </si>
  <si>
    <t>i=190</t>
  </si>
  <si>
    <t>brute force</t>
  </si>
  <si>
    <t>12x12</t>
  </si>
  <si>
    <t>13x13</t>
  </si>
  <si>
    <t>15x15</t>
  </si>
  <si>
    <t>20x20</t>
  </si>
  <si>
    <t>symetric</t>
  </si>
  <si>
    <t>NN</t>
  </si>
  <si>
    <t>50x50</t>
  </si>
  <si>
    <t>60x60</t>
  </si>
  <si>
    <t>70x70</t>
  </si>
  <si>
    <t>80x80</t>
  </si>
  <si>
    <t>90x90</t>
  </si>
  <si>
    <t>RNN</t>
  </si>
  <si>
    <t>71x71</t>
  </si>
  <si>
    <t>72x72</t>
  </si>
  <si>
    <t>73x73</t>
  </si>
  <si>
    <t>74x74</t>
  </si>
  <si>
    <t>75x75</t>
  </si>
  <si>
    <t>asymetric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</si>
</sst>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czas[ms]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Sheet1!$A$25:$A$28</c:f>
              <c:strCache>
                <c:ptCount val="4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14x14</c:v>
                </c:pt>
              </c:strCache>
            </c:strRef>
          </c:cat>
          <c:val>
            <c:numRef>
              <c:f>Sheet1!$B$25:$B$28</c:f>
              <c:numCache>
                <c:formatCode>General</c:formatCode>
                <c:ptCount val="4"/>
                <c:pt idx="0">
                  <c:v>3.6999999999999998E-2</c:v>
                </c:pt>
                <c:pt idx="1">
                  <c:v>0.70699999999999996</c:v>
                </c:pt>
                <c:pt idx="2">
                  <c:v>297.93</c:v>
                </c:pt>
                <c:pt idx="3">
                  <c:v>519371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9-45DA-862C-09F78EC14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531311"/>
        <c:axId val="203531791"/>
      </c:barChart>
      <c:catAx>
        <c:axId val="203531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macierzy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531791"/>
        <c:crossesAt val="1.0000000000000002E-2"/>
        <c:auto val="1"/>
        <c:lblAlgn val="ctr"/>
        <c:lblOffset val="100"/>
        <c:noMultiLvlLbl val="0"/>
      </c:catAx>
      <c:valAx>
        <c:axId val="2035317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53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brute</a:t>
            </a:r>
            <a:r>
              <a:rPr lang="pl-PL" baseline="0"/>
              <a:t> force asymetric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czas[ms]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Sheet1!$S$2:$T$6</c:f>
              <c:strCache>
                <c:ptCount val="5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12x12</c:v>
                </c:pt>
                <c:pt idx="4">
                  <c:v>13x13</c:v>
                </c:pt>
              </c:strCache>
            </c:strRef>
          </c:cat>
          <c:val>
            <c:numRef>
              <c:f>Sheet1!$U$2:$U$6</c:f>
              <c:numCache>
                <c:formatCode>General</c:formatCode>
                <c:ptCount val="5"/>
                <c:pt idx="0">
                  <c:v>0.06</c:v>
                </c:pt>
                <c:pt idx="1">
                  <c:v>1.83</c:v>
                </c:pt>
                <c:pt idx="2">
                  <c:v>1776.92</c:v>
                </c:pt>
                <c:pt idx="3">
                  <c:v>19260.61</c:v>
                </c:pt>
                <c:pt idx="4">
                  <c:v>253056.27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B-4C9F-98A8-0C378BCBCA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448367"/>
        <c:axId val="410459887"/>
      </c:barChart>
      <c:catAx>
        <c:axId val="410448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0459887"/>
        <c:crossesAt val="0"/>
        <c:auto val="1"/>
        <c:lblAlgn val="ctr"/>
        <c:lblOffset val="100"/>
        <c:noMultiLvlLbl val="0"/>
      </c:catAx>
      <c:valAx>
        <c:axId val="4104598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044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brute</a:t>
            </a:r>
            <a:r>
              <a:rPr lang="pl-PL" baseline="0"/>
              <a:t> force improved asymetric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czas[ms]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Sheet1!$W$2:$W$8</c:f>
              <c:strCache>
                <c:ptCount val="7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12x12</c:v>
                </c:pt>
                <c:pt idx="4">
                  <c:v>13x13</c:v>
                </c:pt>
                <c:pt idx="5">
                  <c:v>15x15</c:v>
                </c:pt>
                <c:pt idx="6">
                  <c:v>20x20</c:v>
                </c:pt>
              </c:strCache>
            </c:strRef>
          </c:cat>
          <c:val>
            <c:numRef>
              <c:f>Sheet1!$X$2:$X$8</c:f>
              <c:numCache>
                <c:formatCode>General</c:formatCode>
                <c:ptCount val="7"/>
                <c:pt idx="0">
                  <c:v>0.04</c:v>
                </c:pt>
                <c:pt idx="1">
                  <c:v>0.23</c:v>
                </c:pt>
                <c:pt idx="2">
                  <c:v>18.13</c:v>
                </c:pt>
                <c:pt idx="3">
                  <c:v>55.46</c:v>
                </c:pt>
                <c:pt idx="4">
                  <c:v>305.47000000000003</c:v>
                </c:pt>
                <c:pt idx="5">
                  <c:v>1703.62</c:v>
                </c:pt>
                <c:pt idx="6">
                  <c:v>497668.22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8-4D4D-A182-051C044D1C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1578127"/>
        <c:axId val="851579087"/>
      </c:barChart>
      <c:catAx>
        <c:axId val="85157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1579087"/>
        <c:crossesAt val="0"/>
        <c:auto val="1"/>
        <c:lblAlgn val="ctr"/>
        <c:lblOffset val="100"/>
        <c:noMultiLvlLbl val="0"/>
      </c:catAx>
      <c:valAx>
        <c:axId val="8515790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157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brute</a:t>
            </a:r>
            <a:r>
              <a:rPr lang="pl-PL" baseline="0"/>
              <a:t> force symetric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Sheet1!$U$10</c:f>
              <c:strCache>
                <c:ptCount val="1"/>
                <c:pt idx="0">
                  <c:v>czas[ms]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Sheet1!$T$11:$T$15</c:f>
              <c:strCache>
                <c:ptCount val="5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12x12</c:v>
                </c:pt>
                <c:pt idx="4">
                  <c:v>13x13</c:v>
                </c:pt>
              </c:strCache>
            </c:strRef>
          </c:cat>
          <c:val>
            <c:numRef>
              <c:f>Sheet1!$U$11:$U$15</c:f>
              <c:numCache>
                <c:formatCode>General</c:formatCode>
                <c:ptCount val="5"/>
                <c:pt idx="0">
                  <c:v>0.05</c:v>
                </c:pt>
                <c:pt idx="1">
                  <c:v>1.93</c:v>
                </c:pt>
                <c:pt idx="2">
                  <c:v>1705.69</c:v>
                </c:pt>
                <c:pt idx="3">
                  <c:v>19767.3</c:v>
                </c:pt>
                <c:pt idx="4">
                  <c:v>252517.26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0-47D8-8225-553AE9F81D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1185887"/>
        <c:axId val="851188287"/>
      </c:barChart>
      <c:catAx>
        <c:axId val="85118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1188287"/>
        <c:crossesAt val="0"/>
        <c:auto val="1"/>
        <c:lblAlgn val="ctr"/>
        <c:lblOffset val="100"/>
        <c:noMultiLvlLbl val="0"/>
      </c:catAx>
      <c:valAx>
        <c:axId val="8511882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118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Sheet1!$AC$2</c:f>
              <c:strCache>
                <c:ptCount val="1"/>
                <c:pt idx="0">
                  <c:v>czas[ms]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Sheet1!$AB$3:$AB$12</c:f>
              <c:strCache>
                <c:ptCount val="10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15x15</c:v>
                </c:pt>
                <c:pt idx="4">
                  <c:v>20x20</c:v>
                </c:pt>
                <c:pt idx="5">
                  <c:v>50x50</c:v>
                </c:pt>
                <c:pt idx="6">
                  <c:v>60x60</c:v>
                </c:pt>
                <c:pt idx="7">
                  <c:v>70x70</c:v>
                </c:pt>
                <c:pt idx="8">
                  <c:v>80x80</c:v>
                </c:pt>
                <c:pt idx="9">
                  <c:v>90x90</c:v>
                </c:pt>
              </c:strCache>
            </c:strRef>
          </c:cat>
          <c:val>
            <c:numRef>
              <c:f>Sheet1!$AC$3:$AC$12</c:f>
              <c:numCache>
                <c:formatCode>General</c:formatCode>
                <c:ptCount val="1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0.05</c:v>
                </c:pt>
                <c:pt idx="5">
                  <c:v>5.9</c:v>
                </c:pt>
                <c:pt idx="6">
                  <c:v>1.48</c:v>
                </c:pt>
                <c:pt idx="7">
                  <c:v>25.69</c:v>
                </c:pt>
                <c:pt idx="8">
                  <c:v>5357.66</c:v>
                </c:pt>
                <c:pt idx="9">
                  <c:v>371140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D-46C6-8DCB-5205496374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3764431"/>
        <c:axId val="853763951"/>
      </c:barChart>
      <c:catAx>
        <c:axId val="85376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3763951"/>
        <c:crossesAt val="0"/>
        <c:auto val="1"/>
        <c:lblAlgn val="ctr"/>
        <c:lblOffset val="100"/>
        <c:noMultiLvlLbl val="0"/>
      </c:catAx>
      <c:valAx>
        <c:axId val="853763951"/>
        <c:scaling>
          <c:logBase val="10"/>
          <c:orientation val="minMax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376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RNN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Sheet1!$AG$2</c:f>
              <c:strCache>
                <c:ptCount val="1"/>
                <c:pt idx="0">
                  <c:v>czas[ms]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Sheet1!$AF$3:$AF$15</c:f>
              <c:strCache>
                <c:ptCount val="13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15x15</c:v>
                </c:pt>
                <c:pt idx="4">
                  <c:v>20x20</c:v>
                </c:pt>
                <c:pt idx="5">
                  <c:v>50x50</c:v>
                </c:pt>
                <c:pt idx="6">
                  <c:v>60x60</c:v>
                </c:pt>
                <c:pt idx="7">
                  <c:v>70x70</c:v>
                </c:pt>
                <c:pt idx="8">
                  <c:v>71x71</c:v>
                </c:pt>
                <c:pt idx="9">
                  <c:v>72x72</c:v>
                </c:pt>
                <c:pt idx="10">
                  <c:v>73x73</c:v>
                </c:pt>
                <c:pt idx="11">
                  <c:v>74x74</c:v>
                </c:pt>
                <c:pt idx="12">
                  <c:v>75x75</c:v>
                </c:pt>
              </c:strCache>
            </c:strRef>
          </c:cat>
          <c:val>
            <c:numRef>
              <c:f>Sheet1!$AG$3:$AG$15</c:f>
              <c:numCache>
                <c:formatCode>General</c:formatCode>
                <c:ptCount val="13"/>
                <c:pt idx="0">
                  <c:v>0.02</c:v>
                </c:pt>
                <c:pt idx="1">
                  <c:v>0.04</c:v>
                </c:pt>
                <c:pt idx="2">
                  <c:v>7.0000000000000007E-2</c:v>
                </c:pt>
                <c:pt idx="3">
                  <c:v>0.16</c:v>
                </c:pt>
                <c:pt idx="4">
                  <c:v>0.42</c:v>
                </c:pt>
                <c:pt idx="5">
                  <c:v>404.57</c:v>
                </c:pt>
                <c:pt idx="6">
                  <c:v>580.20000000000005</c:v>
                </c:pt>
                <c:pt idx="7">
                  <c:v>6393.75</c:v>
                </c:pt>
                <c:pt idx="8">
                  <c:v>631780</c:v>
                </c:pt>
                <c:pt idx="9">
                  <c:v>11000</c:v>
                </c:pt>
                <c:pt idx="10">
                  <c:v>6710</c:v>
                </c:pt>
                <c:pt idx="11">
                  <c:v>227020</c:v>
                </c:pt>
                <c:pt idx="12">
                  <c:v>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9-4650-8CBA-5E925009A4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7121823"/>
        <c:axId val="867120863"/>
      </c:barChart>
      <c:catAx>
        <c:axId val="86712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7120863"/>
        <c:crossesAt val="0"/>
        <c:auto val="1"/>
        <c:lblAlgn val="ctr"/>
        <c:lblOffset val="100"/>
        <c:noMultiLvlLbl val="0"/>
      </c:catAx>
      <c:valAx>
        <c:axId val="86712086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712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brute</a:t>
            </a:r>
            <a:r>
              <a:rPr lang="pl-PL" baseline="0"/>
              <a:t> force improved symetric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Sheet1!$X$10</c:f>
              <c:strCache>
                <c:ptCount val="1"/>
                <c:pt idx="0">
                  <c:v>czas[ms]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Sheet1!$W$11:$W$16</c:f>
              <c:strCache>
                <c:ptCount val="6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12x12</c:v>
                </c:pt>
                <c:pt idx="4">
                  <c:v>13x13</c:v>
                </c:pt>
                <c:pt idx="5">
                  <c:v>15x15</c:v>
                </c:pt>
              </c:strCache>
            </c:strRef>
          </c:cat>
          <c:val>
            <c:numRef>
              <c:f>Sheet1!$X$11:$X$16</c:f>
              <c:numCache>
                <c:formatCode>General</c:formatCode>
                <c:ptCount val="6"/>
                <c:pt idx="0">
                  <c:v>0.05</c:v>
                </c:pt>
                <c:pt idx="1">
                  <c:v>1.97</c:v>
                </c:pt>
                <c:pt idx="2">
                  <c:v>29.68</c:v>
                </c:pt>
                <c:pt idx="3">
                  <c:v>50.19</c:v>
                </c:pt>
                <c:pt idx="4">
                  <c:v>186.82</c:v>
                </c:pt>
                <c:pt idx="5">
                  <c:v>11996.14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3-492D-80CE-60D9FD84E1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2935055"/>
        <c:axId val="672934575"/>
      </c:barChart>
      <c:catAx>
        <c:axId val="672935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72934575"/>
        <c:crossesAt val="0"/>
        <c:auto val="1"/>
        <c:lblAlgn val="ctr"/>
        <c:lblOffset val="100"/>
        <c:noMultiLvlLbl val="0"/>
      </c:catAx>
      <c:valAx>
        <c:axId val="6729345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7293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14</xdr:row>
      <xdr:rowOff>109536</xdr:rowOff>
    </xdr:from>
    <xdr:to>
      <xdr:col>9</xdr:col>
      <xdr:colOff>38100</xdr:colOff>
      <xdr:row>26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714995-53A0-C336-499A-6488EFA66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30617</xdr:colOff>
      <xdr:row>17</xdr:row>
      <xdr:rowOff>45585</xdr:rowOff>
    </xdr:from>
    <xdr:to>
      <xdr:col>17</xdr:col>
      <xdr:colOff>336777</xdr:colOff>
      <xdr:row>31</xdr:row>
      <xdr:rowOff>121785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C948FB-63BA-E7E6-C365-F80281820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42182</xdr:colOff>
      <xdr:row>33</xdr:row>
      <xdr:rowOff>50346</xdr:rowOff>
    </xdr:from>
    <xdr:to>
      <xdr:col>17</xdr:col>
      <xdr:colOff>325210</xdr:colOff>
      <xdr:row>47</xdr:row>
      <xdr:rowOff>126546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6F9D82-9B0A-60A4-DDC6-FA654FD85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74839</xdr:colOff>
      <xdr:row>17</xdr:row>
      <xdr:rowOff>51707</xdr:rowOff>
    </xdr:from>
    <xdr:to>
      <xdr:col>25</xdr:col>
      <xdr:colOff>102054</xdr:colOff>
      <xdr:row>31</xdr:row>
      <xdr:rowOff>127907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D5B380-91D2-0EBE-A045-742F4B7CD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44904</xdr:colOff>
      <xdr:row>4</xdr:row>
      <xdr:rowOff>76200</xdr:rowOff>
    </xdr:from>
    <xdr:to>
      <xdr:col>44</xdr:col>
      <xdr:colOff>190501</xdr:colOff>
      <xdr:row>14</xdr:row>
      <xdr:rowOff>180976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EF481F-DED9-66B5-59BD-71DA47D0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213630</xdr:colOff>
      <xdr:row>19</xdr:row>
      <xdr:rowOff>680</xdr:rowOff>
    </xdr:from>
    <xdr:to>
      <xdr:col>51</xdr:col>
      <xdr:colOff>561974</xdr:colOff>
      <xdr:row>39</xdr:row>
      <xdr:rowOff>90488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65710E-E6BB-EC6E-6B07-AB31F908D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73478</xdr:colOff>
      <xdr:row>33</xdr:row>
      <xdr:rowOff>106134</xdr:rowOff>
    </xdr:from>
    <xdr:to>
      <xdr:col>25</xdr:col>
      <xdr:colOff>97971</xdr:colOff>
      <xdr:row>47</xdr:row>
      <xdr:rowOff>182334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B12203-5F5E-536A-DA75-BC42CF740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49EA-08DE-408F-83C0-1449CF8725F2}">
  <dimension ref="A1:AG28"/>
  <sheetViews>
    <sheetView tabSelected="1" topLeftCell="A15" zoomScaleNormal="100" workbookViewId="0">
      <selection activeCell="AA35" sqref="AA35"/>
    </sheetView>
  </sheetViews>
  <sheetFormatPr defaultRowHeight="15" x14ac:dyDescent="0.25"/>
  <cols>
    <col min="9" max="9" width="9.140625" customWidth="1"/>
    <col min="19" max="19" width="10.7109375" customWidth="1"/>
    <col min="20" max="20" width="11.42578125" customWidth="1"/>
  </cols>
  <sheetData>
    <row r="1" spans="1:33" x14ac:dyDescent="0.25">
      <c r="A1" s="1" t="s">
        <v>0</v>
      </c>
      <c r="B1" s="1" t="s">
        <v>4</v>
      </c>
      <c r="C1" s="1"/>
      <c r="E1" s="1" t="s">
        <v>3</v>
      </c>
      <c r="F1" s="1" t="s">
        <v>8</v>
      </c>
      <c r="G1" s="1"/>
      <c r="I1" s="1" t="s">
        <v>9</v>
      </c>
      <c r="J1" s="1" t="s">
        <v>10</v>
      </c>
      <c r="K1" s="1"/>
      <c r="M1" s="1" t="s">
        <v>11</v>
      </c>
      <c r="N1" s="1" t="s">
        <v>12</v>
      </c>
      <c r="O1" s="1"/>
      <c r="S1" t="s">
        <v>31</v>
      </c>
      <c r="T1" t="s">
        <v>13</v>
      </c>
      <c r="U1" t="s">
        <v>5</v>
      </c>
      <c r="W1" t="s">
        <v>13</v>
      </c>
      <c r="X1" t="s">
        <v>5</v>
      </c>
    </row>
    <row r="2" spans="1:33" x14ac:dyDescent="0.25">
      <c r="A2" s="1" t="s">
        <v>6</v>
      </c>
      <c r="B2" s="1" t="s">
        <v>1</v>
      </c>
      <c r="C2" s="1" t="s">
        <v>2</v>
      </c>
      <c r="E2" s="1" t="s">
        <v>6</v>
      </c>
      <c r="F2" s="1" t="s">
        <v>1</v>
      </c>
      <c r="G2" s="1" t="s">
        <v>5</v>
      </c>
      <c r="I2" s="1" t="s">
        <v>6</v>
      </c>
      <c r="J2" s="1" t="s">
        <v>1</v>
      </c>
      <c r="K2" s="1" t="s">
        <v>5</v>
      </c>
      <c r="M2" s="1" t="s">
        <v>6</v>
      </c>
      <c r="N2" s="1" t="s">
        <v>1</v>
      </c>
      <c r="O2" s="1" t="s">
        <v>5</v>
      </c>
      <c r="T2" t="s">
        <v>11</v>
      </c>
      <c r="U2">
        <v>0.06</v>
      </c>
      <c r="W2" t="s">
        <v>11</v>
      </c>
      <c r="X2">
        <v>0.04</v>
      </c>
      <c r="AB2" t="s">
        <v>19</v>
      </c>
      <c r="AC2" t="s">
        <v>5</v>
      </c>
      <c r="AF2" t="s">
        <v>25</v>
      </c>
      <c r="AG2" t="s">
        <v>5</v>
      </c>
    </row>
    <row r="3" spans="1:33" x14ac:dyDescent="0.25">
      <c r="A3" s="1">
        <v>1</v>
      </c>
      <c r="B3" s="2">
        <v>5.7500000000000002E-2</v>
      </c>
      <c r="C3" s="1">
        <v>514.80999999999995</v>
      </c>
      <c r="E3" s="1">
        <v>1</v>
      </c>
      <c r="F3" s="2">
        <v>0</v>
      </c>
      <c r="G3" s="1">
        <v>295.58999999999997</v>
      </c>
      <c r="I3" s="1">
        <v>1</v>
      </c>
      <c r="J3" s="2">
        <v>0</v>
      </c>
      <c r="K3" s="1">
        <v>0.68</v>
      </c>
      <c r="M3" s="1">
        <v>1</v>
      </c>
      <c r="N3" s="2">
        <v>0</v>
      </c>
      <c r="O3" s="1">
        <v>0.04</v>
      </c>
      <c r="T3" t="s">
        <v>9</v>
      </c>
      <c r="U3">
        <v>1.83</v>
      </c>
      <c r="W3" t="s">
        <v>9</v>
      </c>
      <c r="X3">
        <v>0.23</v>
      </c>
      <c r="AB3" t="s">
        <v>11</v>
      </c>
      <c r="AC3">
        <v>0.01</v>
      </c>
      <c r="AF3" t="s">
        <v>11</v>
      </c>
      <c r="AG3">
        <v>0.02</v>
      </c>
    </row>
    <row r="4" spans="1:33" x14ac:dyDescent="0.25">
      <c r="A4" s="1">
        <v>2</v>
      </c>
      <c r="B4" s="2">
        <v>6.25E-2</v>
      </c>
      <c r="C4" s="1">
        <v>516.83000000000004</v>
      </c>
      <c r="E4" s="1">
        <v>2</v>
      </c>
      <c r="F4" s="2">
        <v>2.6800000000000001E-2</v>
      </c>
      <c r="G4" s="1">
        <v>302.32</v>
      </c>
      <c r="I4" s="1">
        <v>2</v>
      </c>
      <c r="J4" s="2">
        <v>6.6199999999999995E-2</v>
      </c>
      <c r="K4" s="1">
        <v>0.68</v>
      </c>
      <c r="M4" s="1">
        <v>2</v>
      </c>
      <c r="N4" s="2">
        <v>0</v>
      </c>
      <c r="O4" s="1">
        <v>0.04</v>
      </c>
      <c r="T4" t="s">
        <v>3</v>
      </c>
      <c r="U4">
        <v>1776.92</v>
      </c>
      <c r="W4" t="s">
        <v>3</v>
      </c>
      <c r="X4">
        <v>18.13</v>
      </c>
      <c r="AB4" t="s">
        <v>9</v>
      </c>
      <c r="AC4">
        <v>0.01</v>
      </c>
      <c r="AF4" t="s">
        <v>9</v>
      </c>
      <c r="AG4">
        <v>0.04</v>
      </c>
    </row>
    <row r="5" spans="1:33" x14ac:dyDescent="0.25">
      <c r="A5" s="1">
        <v>3</v>
      </c>
      <c r="B5" s="2">
        <v>0</v>
      </c>
      <c r="C5" s="1">
        <v>516.79999999999995</v>
      </c>
      <c r="E5" s="1">
        <v>3</v>
      </c>
      <c r="F5" s="2">
        <v>2.6800000000000001E-2</v>
      </c>
      <c r="G5" s="1">
        <v>301.06</v>
      </c>
      <c r="I5" s="1">
        <v>3</v>
      </c>
      <c r="J5" s="2">
        <v>6.6199999999999995E-2</v>
      </c>
      <c r="K5" s="1">
        <v>0.76</v>
      </c>
      <c r="M5" s="1">
        <v>3</v>
      </c>
      <c r="N5" s="2">
        <v>0</v>
      </c>
      <c r="O5" s="1">
        <v>0.04</v>
      </c>
      <c r="T5" t="s">
        <v>14</v>
      </c>
      <c r="U5">
        <v>19260.61</v>
      </c>
      <c r="W5" t="s">
        <v>14</v>
      </c>
      <c r="X5">
        <v>55.46</v>
      </c>
      <c r="AB5" t="s">
        <v>3</v>
      </c>
      <c r="AC5">
        <v>0.01</v>
      </c>
      <c r="AF5" t="s">
        <v>3</v>
      </c>
      <c r="AG5">
        <v>7.0000000000000007E-2</v>
      </c>
    </row>
    <row r="6" spans="1:33" x14ac:dyDescent="0.25">
      <c r="A6" s="1">
        <v>4</v>
      </c>
      <c r="B6" s="2">
        <v>6.25E-2</v>
      </c>
      <c r="C6" s="1">
        <v>515.58000000000004</v>
      </c>
      <c r="E6" s="1">
        <v>4</v>
      </c>
      <c r="F6" s="2">
        <v>2.6800000000000001E-2</v>
      </c>
      <c r="G6" s="1">
        <v>300.35000000000002</v>
      </c>
      <c r="I6" s="1">
        <v>4</v>
      </c>
      <c r="J6" s="2">
        <v>0</v>
      </c>
      <c r="K6" s="1">
        <v>0.68</v>
      </c>
      <c r="M6" s="1">
        <v>4</v>
      </c>
      <c r="N6" s="2">
        <v>0.08</v>
      </c>
      <c r="O6" s="1">
        <v>0.03</v>
      </c>
      <c r="T6" t="s">
        <v>15</v>
      </c>
      <c r="U6">
        <v>253056.27</v>
      </c>
      <c r="W6" t="s">
        <v>15</v>
      </c>
      <c r="X6">
        <v>305.47000000000003</v>
      </c>
      <c r="AB6" t="s">
        <v>16</v>
      </c>
      <c r="AC6">
        <v>0.01</v>
      </c>
      <c r="AF6" t="s">
        <v>16</v>
      </c>
      <c r="AG6">
        <v>0.16</v>
      </c>
    </row>
    <row r="7" spans="1:33" x14ac:dyDescent="0.25">
      <c r="A7" s="1">
        <v>5</v>
      </c>
      <c r="B7" s="2">
        <v>7.4999999999999997E-2</v>
      </c>
      <c r="C7" s="1">
        <v>513.88</v>
      </c>
      <c r="E7" s="1">
        <v>5</v>
      </c>
      <c r="F7" s="2">
        <v>0</v>
      </c>
      <c r="G7" s="1">
        <v>292.19</v>
      </c>
      <c r="I7" s="1">
        <v>5</v>
      </c>
      <c r="J7" s="2">
        <v>0</v>
      </c>
      <c r="K7" s="1">
        <v>0.85</v>
      </c>
      <c r="M7" s="1">
        <v>5</v>
      </c>
      <c r="N7" s="2">
        <v>0</v>
      </c>
      <c r="O7" s="1">
        <v>0.04</v>
      </c>
      <c r="W7" t="s">
        <v>16</v>
      </c>
      <c r="X7">
        <v>1703.62</v>
      </c>
      <c r="AB7" t="s">
        <v>17</v>
      </c>
      <c r="AC7">
        <v>0.05</v>
      </c>
      <c r="AF7" t="s">
        <v>17</v>
      </c>
      <c r="AG7">
        <v>0.42</v>
      </c>
    </row>
    <row r="8" spans="1:33" x14ac:dyDescent="0.25">
      <c r="A8" s="1">
        <v>6</v>
      </c>
      <c r="B8" s="2">
        <v>7.4999999999999997E-2</v>
      </c>
      <c r="C8" s="1">
        <v>515.24</v>
      </c>
      <c r="E8" s="1">
        <v>6</v>
      </c>
      <c r="F8" s="2">
        <v>2.6800000000000001E-2</v>
      </c>
      <c r="G8" s="1">
        <v>292.37</v>
      </c>
      <c r="I8" s="1">
        <v>6</v>
      </c>
      <c r="J8" s="2">
        <v>0</v>
      </c>
      <c r="K8" s="1">
        <v>0.67</v>
      </c>
      <c r="M8" s="1">
        <v>6</v>
      </c>
      <c r="N8" s="2">
        <v>0</v>
      </c>
      <c r="O8" s="1">
        <v>0.04</v>
      </c>
      <c r="W8" t="s">
        <v>17</v>
      </c>
      <c r="X8">
        <v>497668.22</v>
      </c>
      <c r="AB8" t="s">
        <v>20</v>
      </c>
      <c r="AC8">
        <v>5.9</v>
      </c>
      <c r="AF8" t="s">
        <v>20</v>
      </c>
      <c r="AG8">
        <v>404.57</v>
      </c>
    </row>
    <row r="9" spans="1:33" x14ac:dyDescent="0.25">
      <c r="A9" s="1">
        <v>7</v>
      </c>
      <c r="B9" s="2">
        <v>7.4999999999999997E-2</v>
      </c>
      <c r="C9" s="1">
        <v>517.04</v>
      </c>
      <c r="E9" s="1">
        <v>7</v>
      </c>
      <c r="F9" s="2">
        <v>0</v>
      </c>
      <c r="G9" s="1">
        <v>296.01</v>
      </c>
      <c r="I9" s="1">
        <v>7</v>
      </c>
      <c r="J9" s="2">
        <v>5.1499999999999997E-2</v>
      </c>
      <c r="K9" s="1">
        <v>0.69</v>
      </c>
      <c r="M9" s="1">
        <v>7</v>
      </c>
      <c r="N9" s="2">
        <v>0</v>
      </c>
      <c r="O9" s="1">
        <v>0.04</v>
      </c>
      <c r="AB9" t="s">
        <v>21</v>
      </c>
      <c r="AC9">
        <v>1.48</v>
      </c>
      <c r="AF9" t="s">
        <v>21</v>
      </c>
      <c r="AG9">
        <v>580.20000000000005</v>
      </c>
    </row>
    <row r="10" spans="1:33" x14ac:dyDescent="0.25">
      <c r="A10" s="1">
        <v>8</v>
      </c>
      <c r="B10" s="2">
        <v>8.7499999999999994E-2</v>
      </c>
      <c r="C10" s="1">
        <v>519.54999999999995</v>
      </c>
      <c r="E10" s="1">
        <v>8</v>
      </c>
      <c r="F10" s="2">
        <v>7.3800000000000004E-2</v>
      </c>
      <c r="G10" s="1">
        <v>294.8</v>
      </c>
      <c r="I10" s="1">
        <v>8</v>
      </c>
      <c r="J10" s="2">
        <v>6.6199999999999995E-2</v>
      </c>
      <c r="K10" s="1">
        <v>0.68</v>
      </c>
      <c r="M10" s="1">
        <v>8</v>
      </c>
      <c r="N10" s="2">
        <v>0</v>
      </c>
      <c r="O10" s="1">
        <v>0.03</v>
      </c>
      <c r="S10" t="s">
        <v>18</v>
      </c>
      <c r="T10" t="s">
        <v>13</v>
      </c>
      <c r="U10" t="s">
        <v>5</v>
      </c>
      <c r="W10" t="s">
        <v>13</v>
      </c>
      <c r="X10" t="s">
        <v>5</v>
      </c>
      <c r="AB10" t="s">
        <v>22</v>
      </c>
      <c r="AC10">
        <v>25.69</v>
      </c>
      <c r="AF10" t="s">
        <v>22</v>
      </c>
      <c r="AG10">
        <v>6393.75</v>
      </c>
    </row>
    <row r="11" spans="1:33" x14ac:dyDescent="0.25">
      <c r="A11" s="1">
        <v>9</v>
      </c>
      <c r="B11" s="2">
        <v>8.7499999999999994E-2</v>
      </c>
      <c r="C11" s="1">
        <v>522.73</v>
      </c>
      <c r="E11" s="1">
        <v>9</v>
      </c>
      <c r="F11" s="2">
        <v>2.6800000000000001E-2</v>
      </c>
      <c r="G11" s="1">
        <v>292.58999999999997</v>
      </c>
      <c r="I11" s="1">
        <v>9</v>
      </c>
      <c r="J11" s="2">
        <v>0</v>
      </c>
      <c r="K11" s="1">
        <v>0.67</v>
      </c>
      <c r="M11" s="1">
        <v>9</v>
      </c>
      <c r="N11" s="2">
        <v>0</v>
      </c>
      <c r="O11" s="1">
        <v>0.04</v>
      </c>
      <c r="T11" t="s">
        <v>11</v>
      </c>
      <c r="U11">
        <v>0.05</v>
      </c>
      <c r="W11" t="s">
        <v>11</v>
      </c>
      <c r="X11">
        <v>0.05</v>
      </c>
      <c r="AB11" t="s">
        <v>23</v>
      </c>
      <c r="AC11">
        <v>5357.66</v>
      </c>
      <c r="AF11" t="s">
        <v>26</v>
      </c>
      <c r="AG11">
        <v>631780</v>
      </c>
    </row>
    <row r="12" spans="1:33" x14ac:dyDescent="0.25">
      <c r="A12" s="1">
        <v>10</v>
      </c>
      <c r="B12" s="2">
        <v>0</v>
      </c>
      <c r="C12" s="1">
        <v>541.25</v>
      </c>
      <c r="E12" s="1">
        <v>10</v>
      </c>
      <c r="F12" s="2">
        <v>2.6800000000000001E-2</v>
      </c>
      <c r="G12" s="1">
        <v>312.06</v>
      </c>
      <c r="I12" s="1">
        <v>10</v>
      </c>
      <c r="J12" s="2">
        <v>5.1499999999999997E-2</v>
      </c>
      <c r="K12" s="1">
        <v>0.71</v>
      </c>
      <c r="M12" s="1">
        <v>10</v>
      </c>
      <c r="N12" s="2">
        <v>0</v>
      </c>
      <c r="O12" s="1">
        <v>0.03</v>
      </c>
      <c r="T12" t="s">
        <v>9</v>
      </c>
      <c r="U12">
        <v>1.93</v>
      </c>
      <c r="W12" t="s">
        <v>9</v>
      </c>
      <c r="X12">
        <v>1.97</v>
      </c>
      <c r="AB12" t="s">
        <v>24</v>
      </c>
      <c r="AC12">
        <v>371140</v>
      </c>
      <c r="AF12" t="s">
        <v>27</v>
      </c>
      <c r="AG12">
        <v>11000</v>
      </c>
    </row>
    <row r="13" spans="1:33" x14ac:dyDescent="0.25">
      <c r="A13" s="1" t="s">
        <v>7</v>
      </c>
      <c r="B13" s="2">
        <f>AVERAGE(B3:B12)</f>
        <v>5.8250000000000003E-2</v>
      </c>
      <c r="C13" s="1">
        <f>AVERAGE(C3:C12)</f>
        <v>519.37100000000009</v>
      </c>
      <c r="E13" s="1" t="s">
        <v>7</v>
      </c>
      <c r="F13" s="2">
        <f>AVERAGE(F3:F12)</f>
        <v>2.3459999999999998E-2</v>
      </c>
      <c r="G13" s="3">
        <f>AVERAGE(G3:G12)</f>
        <v>297.93400000000008</v>
      </c>
      <c r="I13" s="1" t="s">
        <v>7</v>
      </c>
      <c r="J13" s="2">
        <f>AVERAGE(J3:J12)</f>
        <v>3.0159999999999999E-2</v>
      </c>
      <c r="K13" s="1">
        <f>AVERAGE(K3:K12)</f>
        <v>0.70699999999999996</v>
      </c>
      <c r="M13" s="1" t="s">
        <v>7</v>
      </c>
      <c r="N13" s="2">
        <f>AVERAGE(N3:N12)</f>
        <v>8.0000000000000002E-3</v>
      </c>
      <c r="O13" s="1">
        <f>AVERAGE(O3:O12)</f>
        <v>3.6999999999999998E-2</v>
      </c>
      <c r="T13" t="s">
        <v>3</v>
      </c>
      <c r="U13">
        <v>1705.69</v>
      </c>
      <c r="W13" t="s">
        <v>3</v>
      </c>
      <c r="X13">
        <v>29.68</v>
      </c>
      <c r="AF13" t="s">
        <v>28</v>
      </c>
      <c r="AG13">
        <v>6710</v>
      </c>
    </row>
    <row r="14" spans="1:33" x14ac:dyDescent="0.25">
      <c r="T14" t="s">
        <v>14</v>
      </c>
      <c r="U14">
        <v>19767.3</v>
      </c>
      <c r="W14" t="s">
        <v>14</v>
      </c>
      <c r="X14">
        <v>50.19</v>
      </c>
      <c r="AF14" t="s">
        <v>29</v>
      </c>
      <c r="AG14">
        <v>227020</v>
      </c>
    </row>
    <row r="15" spans="1:33" x14ac:dyDescent="0.25">
      <c r="T15" t="s">
        <v>15</v>
      </c>
      <c r="U15">
        <v>252517.26</v>
      </c>
      <c r="W15" t="s">
        <v>15</v>
      </c>
      <c r="X15">
        <v>186.82</v>
      </c>
      <c r="AF15" t="s">
        <v>30</v>
      </c>
      <c r="AG15">
        <v>9160</v>
      </c>
    </row>
    <row r="16" spans="1:33" x14ac:dyDescent="0.25">
      <c r="W16" t="s">
        <v>16</v>
      </c>
      <c r="X16">
        <v>11996.14</v>
      </c>
    </row>
    <row r="17" spans="1:2" x14ac:dyDescent="0.25">
      <c r="A17" s="1"/>
      <c r="B17" s="1" t="s">
        <v>1</v>
      </c>
    </row>
    <row r="18" spans="1:2" x14ac:dyDescent="0.25">
      <c r="A18" s="1" t="s">
        <v>11</v>
      </c>
      <c r="B18" s="2">
        <v>8.0000000000000002E-3</v>
      </c>
    </row>
    <row r="19" spans="1:2" x14ac:dyDescent="0.25">
      <c r="A19" s="1" t="s">
        <v>9</v>
      </c>
      <c r="B19" s="2">
        <v>3.0200000000000001E-2</v>
      </c>
    </row>
    <row r="20" spans="1:2" x14ac:dyDescent="0.25">
      <c r="A20" s="1" t="s">
        <v>3</v>
      </c>
      <c r="B20" s="2">
        <v>2.35E-2</v>
      </c>
    </row>
    <row r="21" spans="1:2" x14ac:dyDescent="0.25">
      <c r="A21" s="1" t="s">
        <v>0</v>
      </c>
      <c r="B21" s="2">
        <v>5.8299999999999998E-2</v>
      </c>
    </row>
    <row r="24" spans="1:2" x14ac:dyDescent="0.25">
      <c r="A24" s="1"/>
      <c r="B24" s="1" t="s">
        <v>5</v>
      </c>
    </row>
    <row r="25" spans="1:2" x14ac:dyDescent="0.25">
      <c r="A25" s="1" t="s">
        <v>11</v>
      </c>
      <c r="B25" s="1">
        <v>3.6999999999999998E-2</v>
      </c>
    </row>
    <row r="26" spans="1:2" x14ac:dyDescent="0.25">
      <c r="A26" s="1" t="s">
        <v>9</v>
      </c>
      <c r="B26" s="1">
        <v>0.70699999999999996</v>
      </c>
    </row>
    <row r="27" spans="1:2" x14ac:dyDescent="0.25">
      <c r="A27" s="1" t="s">
        <v>3</v>
      </c>
      <c r="B27" s="1">
        <v>297.93</v>
      </c>
    </row>
    <row r="28" spans="1:2" x14ac:dyDescent="0.25">
      <c r="A28" s="1" t="s">
        <v>0</v>
      </c>
      <c r="B28" s="1">
        <v>519371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Czyż</dc:creator>
  <cp:lastModifiedBy>Bartek Czyż</cp:lastModifiedBy>
  <dcterms:created xsi:type="dcterms:W3CDTF">2026-03-13T17:33:19Z</dcterms:created>
  <dcterms:modified xsi:type="dcterms:W3CDTF">2026-03-15T20:47:40Z</dcterms:modified>
</cp:coreProperties>
</file>